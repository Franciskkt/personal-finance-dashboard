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EC0F32C4-40ED-46E4-9BD2-509902C0A862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Entradas" sheetId="1" r:id="rId1"/>
    <sheet name="Divisão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3" i="2"/>
  <c r="D4" i="2"/>
  <c r="B7" i="3" s="1"/>
  <c r="D5" i="2"/>
  <c r="B10" i="3" s="1"/>
  <c r="D6" i="2"/>
  <c r="D7" i="2"/>
  <c r="B13" i="3" s="1"/>
  <c r="D8" i="2"/>
  <c r="B1" i="3"/>
  <c r="B4" i="3"/>
</calcChain>
</file>

<file path=xl/sharedStrings.xml><?xml version="1.0" encoding="utf-8"?>
<sst xmlns="http://schemas.openxmlformats.org/spreadsheetml/2006/main" count="37" uniqueCount="28">
  <si>
    <t>Data</t>
  </si>
  <si>
    <t>Fonte</t>
  </si>
  <si>
    <t>Valor recebido</t>
  </si>
  <si>
    <t>Tipo</t>
  </si>
  <si>
    <t>Observação</t>
  </si>
  <si>
    <t>Entregas</t>
  </si>
  <si>
    <t>Renda</t>
  </si>
  <si>
    <t>Ifood</t>
  </si>
  <si>
    <t>TV</t>
  </si>
  <si>
    <t>Mensal Promo</t>
  </si>
  <si>
    <t xml:space="preserve">Fonte </t>
  </si>
  <si>
    <t>Percentual</t>
  </si>
  <si>
    <t xml:space="preserve">Categoria </t>
  </si>
  <si>
    <t>Valor</t>
  </si>
  <si>
    <t>Pensão/Terreno</t>
  </si>
  <si>
    <t xml:space="preserve">Caixa Operacional </t>
  </si>
  <si>
    <t xml:space="preserve">Reserva de Emergência </t>
  </si>
  <si>
    <t>Cripto</t>
  </si>
  <si>
    <t>Manutenção da Moto</t>
  </si>
  <si>
    <t>Reserva Motoboy</t>
  </si>
  <si>
    <t>Livre</t>
  </si>
  <si>
    <t>Patrimônio Total</t>
  </si>
  <si>
    <t>Total Entradas</t>
  </si>
  <si>
    <t>Reserva Principal</t>
  </si>
  <si>
    <t>Total Cripto</t>
  </si>
  <si>
    <t>Saldo Inicial Motoboy</t>
  </si>
  <si>
    <t>Saldo Inicial Cripto</t>
  </si>
  <si>
    <t xml:space="preserve">Saldo inicial Reserva de Emergência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</si>
</sst>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44" fontId="0" fillId="0" borderId="0" xfId="0" applyNumberFormat="1"/>
    <xf numFmtId="0" fontId="1" fillId="0" borderId="0" xfId="0" applyFont="1"/>
    <xf numFmtId="164" fontId="0" fillId="2" borderId="0" xfId="0" applyNumberFormat="1" applyFill="1"/>
    <xf numFmtId="164" fontId="1" fillId="3" borderId="0" xfId="0" applyNumberFormat="1" applyFont="1" applyFill="1"/>
    <xf numFmtId="0" fontId="0" fillId="4" borderId="0" xfId="0" applyFill="1"/>
    <xf numFmtId="0" fontId="1" fillId="4" borderId="0" xfId="0" applyFont="1" applyFill="1"/>
    <xf numFmtId="0" fontId="2" fillId="0" borderId="0" xfId="0" applyFont="1"/>
    <xf numFmtId="164" fontId="2" fillId="5" borderId="0" xfId="0" applyNumberFormat="1" applyFont="1" applyFill="1"/>
    <xf numFmtId="10" fontId="0" fillId="6" borderId="2" xfId="0" applyNumberFormat="1" applyFill="1" applyBorder="1"/>
    <xf numFmtId="0" fontId="0" fillId="6" borderId="3" xfId="0" applyFill="1" applyBorder="1"/>
    <xf numFmtId="0" fontId="0" fillId="4" borderId="4" xfId="0" applyFill="1" applyBorder="1"/>
    <xf numFmtId="0" fontId="1" fillId="0" borderId="2" xfId="0" applyFont="1" applyBorder="1"/>
    <xf numFmtId="0" fontId="1" fillId="0" borderId="5" xfId="0" applyFont="1" applyBorder="1"/>
    <xf numFmtId="10" fontId="1" fillId="7" borderId="0" xfId="0" applyNumberFormat="1" applyFont="1" applyFill="1" applyBorder="1"/>
    <xf numFmtId="0" fontId="0" fillId="8" borderId="0" xfId="0" applyFill="1" applyBorder="1"/>
    <xf numFmtId="0" fontId="1" fillId="4" borderId="6" xfId="0" applyFont="1" applyFill="1" applyBorder="1"/>
    <xf numFmtId="0" fontId="1" fillId="0" borderId="7" xfId="0" applyFont="1" applyBorder="1"/>
    <xf numFmtId="10" fontId="1" fillId="7" borderId="1" xfId="0" applyNumberFormat="1" applyFont="1" applyFill="1" applyBorder="1"/>
    <xf numFmtId="0" fontId="0" fillId="8" borderId="1" xfId="0" applyFill="1" applyBorder="1"/>
    <xf numFmtId="0" fontId="1" fillId="4" borderId="8" xfId="0" applyFont="1" applyFill="1" applyBorder="1"/>
  </cellXfs>
  <cellStyles count="1">
    <cellStyle name="Normal" xfId="0" builtinId="0"/>
  </cellStyles>
  <dxfs count="1">
    <dxf>
      <numFmt numFmtId="164" formatCode="&quot;R$&quot;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Distribuição Patrimonial</a:t>
            </a:r>
          </a:p>
        </c:rich>
      </c:tx>
      <c:overlay val="0"/>
      <c:spPr>
        <a:solidFill>
          <a:srgbClr val="E7E6E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4C-42A7-AFBC-DD35769DEB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4C-42A7-AFBC-DD35769DEB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4C-42A7-AFBC-DD35769DEB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4C-42A7-AFBC-DD35769DEBA0}"/>
              </c:ext>
            </c:extLst>
          </c:dPt>
          <c:cat>
            <c:multiLvlStrRef>
              <c:f>Divisão!$C$4:$C$7,Divisão!B4:B13</c:f>
              <c:multiLvlStrCache>
                <c:ptCount val="4"/>
                <c:lvl>
                  <c:pt idx="0">
                    <c:v>25,00%</c:v>
                  </c:pt>
                  <c:pt idx="1">
                    <c:v>15,00%</c:v>
                  </c:pt>
                  <c:pt idx="2">
                    <c:v>15,00%</c:v>
                  </c:pt>
                  <c:pt idx="3">
                    <c:v>15,00%</c:v>
                  </c:pt>
                </c:lvl>
                <c:lvl>
                  <c:pt idx="0">
                    <c:v>Reserva de Emergência </c:v>
                  </c:pt>
                  <c:pt idx="1">
                    <c:v>Cripto</c:v>
                  </c:pt>
                  <c:pt idx="2">
                    <c:v>Manutenção da Moto</c:v>
                  </c:pt>
                  <c:pt idx="3">
                    <c:v>Reserva Motoboy</c:v>
                  </c:pt>
                </c:lvl>
              </c:multiLvlStrCache>
            </c:multiLvlStrRef>
          </c:cat>
          <c:val>
            <c:numRef>
              <c:f>Divisão!$D$4:$D$7</c:f>
              <c:numCache>
                <c:formatCode>General</c:formatCode>
                <c:ptCount val="4"/>
                <c:pt idx="0">
                  <c:v>6.25</c:v>
                </c:pt>
                <c:pt idx="1">
                  <c:v>3.75</c:v>
                </c:pt>
                <c:pt idx="2">
                  <c:v>11.549999999999999</c:v>
                </c:pt>
                <c:pt idx="3">
                  <c:v>11.549999999999999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B94-4196-AD48-B9673D09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Reservas Atuais</a:t>
            </a:r>
          </a:p>
        </c:rich>
      </c:tx>
      <c:overlay val="0"/>
      <c:spPr>
        <a:solidFill>
          <a:srgbClr val="E7E6E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58-42AD-8E88-E89E253D41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58-42AD-8E88-E89E253D41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58-42AD-8E88-E89E253D41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8-42AD-8E88-E89E253D41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58-42AD-8E88-E89E253D41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58-42AD-8E88-E89E253D41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58-42AD-8E88-E89E253D4118}"/>
              </c:ext>
            </c:extLst>
          </c:dPt>
          <c:cat>
            <c:strRef>
              <c:f>Dashboard!A7:A13</c:f>
              <c:strCache>
                <c:ptCount val="7"/>
                <c:pt idx="0">
                  <c:v>Reserva Principal</c:v>
                </c:pt>
                <c:pt idx="3">
                  <c:v>Total Cripto</c:v>
                </c:pt>
                <c:pt idx="6">
                  <c:v>Reserva Motoboy</c:v>
                </c:pt>
              </c:strCache>
            </c:strRef>
          </c:cat>
          <c:val>
            <c:numRef>
              <c:f>Dashboard!$B$7:$B$13</c:f>
              <c:numCache>
                <c:formatCode>"R$"\ #,##0.00</c:formatCode>
                <c:ptCount val="7"/>
                <c:pt idx="0">
                  <c:v>527.58000000000004</c:v>
                </c:pt>
                <c:pt idx="3">
                  <c:v>237.09</c:v>
                </c:pt>
                <c:pt idx="6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6F-4F22-B03F-5B6A127F2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0</xdr:rowOff>
    </xdr:from>
    <xdr:to>
      <xdr:col>8</xdr:col>
      <xdr:colOff>495300</xdr:colOff>
      <xdr:row>10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5A0575-F437-40A6-AD75-2437EE79B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11</xdr:row>
      <xdr:rowOff>85725</xdr:rowOff>
    </xdr:from>
    <xdr:to>
      <xdr:col>8</xdr:col>
      <xdr:colOff>504825</xdr:colOff>
      <xdr:row>25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90520B-8BB7-1E5B-3992-1013026B2305}"/>
            </a:ext>
            <a:ext uri="{147F2762-F138-4A5C-976F-8EAC2B608ADB}">
              <a16:predDERef xmlns:a16="http://schemas.microsoft.com/office/drawing/2014/main" pred="{0A5A0575-F437-40A6-AD75-2437EE79B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C4A57-E436-4CDA-BAEA-A6AFBB472DDA}" name="Tabela1" displayName="Tabela1" ref="A1:E4" totalsRowShown="0">
  <autoFilter ref="A1:E4" xr:uid="{8CFC4A57-E436-4CDA-BAEA-A6AFBB472DDA}"/>
  <tableColumns count="5">
    <tableColumn id="1" xr3:uid="{FD09F115-3A12-441E-96F4-D6634F13C7E1}" name="Data"/>
    <tableColumn id="2" xr3:uid="{B8C92C74-912A-4845-9EE2-37E21CD3C785}" name="Fonte"/>
    <tableColumn id="3" xr3:uid="{E89B3370-784C-4A43-B6BE-41BFCA240870}" name="Valor recebido" dataDxfId="0"/>
    <tableColumn id="4" xr3:uid="{B6F1D718-3F00-4292-BA2E-AFD888BC882D}" name="Tipo"/>
    <tableColumn id="5" xr3:uid="{DC51806B-2AE5-4899-82E6-B3096EC3EAE7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/>
  <cols>
    <col min="1" max="1" width="11.140625" bestFit="1" customWidth="1"/>
    <col min="3" max="3" width="16.140625" style="1" bestFit="1" customWidth="1"/>
    <col min="5" max="5" width="13.5703125" bestFit="1" customWidth="1"/>
  </cols>
  <sheetData>
    <row r="1" spans="1:5">
      <c r="A1" s="2" t="s">
        <v>0</v>
      </c>
      <c r="B1" t="s">
        <v>1</v>
      </c>
      <c r="C1" s="4" t="s">
        <v>2</v>
      </c>
      <c r="D1" t="s">
        <v>3</v>
      </c>
      <c r="E1" t="s">
        <v>4</v>
      </c>
    </row>
    <row r="2" spans="1:5">
      <c r="A2" s="2">
        <v>46155</v>
      </c>
      <c r="B2" t="s">
        <v>5</v>
      </c>
      <c r="C2" s="1">
        <v>77</v>
      </c>
      <c r="D2" t="s">
        <v>6</v>
      </c>
      <c r="E2" t="s">
        <v>7</v>
      </c>
    </row>
    <row r="3" spans="1:5">
      <c r="A3" s="2">
        <v>46155</v>
      </c>
      <c r="B3" t="s">
        <v>8</v>
      </c>
      <c r="C3" s="1">
        <v>25</v>
      </c>
      <c r="D3" t="s">
        <v>6</v>
      </c>
      <c r="E3" t="s">
        <v>9</v>
      </c>
    </row>
    <row r="4" spans="1:5">
      <c r="A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C2B9-7D06-45B1-894C-0587B3C027D1}">
  <dimension ref="A1:D8"/>
  <sheetViews>
    <sheetView workbookViewId="0">
      <selection activeCell="F7" sqref="F7"/>
    </sheetView>
  </sheetViews>
  <sheetFormatPr defaultRowHeight="15"/>
  <cols>
    <col min="2" max="2" width="10.28515625" style="3" bestFit="1" customWidth="1"/>
    <col min="3" max="3" width="21.42578125" bestFit="1" customWidth="1"/>
  </cols>
  <sheetData>
    <row r="1" spans="1:4">
      <c r="A1" s="15" t="s">
        <v>10</v>
      </c>
      <c r="B1" s="12" t="s">
        <v>11</v>
      </c>
      <c r="C1" s="13" t="s">
        <v>12</v>
      </c>
      <c r="D1" s="14" t="s">
        <v>13</v>
      </c>
    </row>
    <row r="2" spans="1:4">
      <c r="A2" s="16" t="s">
        <v>8</v>
      </c>
      <c r="B2" s="17">
        <v>0.3</v>
      </c>
      <c r="C2" s="18" t="s">
        <v>14</v>
      </c>
      <c r="D2" s="19">
        <f>SUMIF(Entradas!B:B,A2,Entradas!C:C)*B2</f>
        <v>7.5</v>
      </c>
    </row>
    <row r="3" spans="1:4">
      <c r="A3" s="16" t="s">
        <v>8</v>
      </c>
      <c r="B3" s="17">
        <v>0.3</v>
      </c>
      <c r="C3" s="18" t="s">
        <v>15</v>
      </c>
      <c r="D3" s="19">
        <f>SUMIF(Entradas!B:B,A3,Entradas!C:C)*B3</f>
        <v>7.5</v>
      </c>
    </row>
    <row r="4" spans="1:4">
      <c r="A4" s="16" t="s">
        <v>8</v>
      </c>
      <c r="B4" s="17">
        <v>0.25</v>
      </c>
      <c r="C4" s="18" t="s">
        <v>16</v>
      </c>
      <c r="D4" s="19">
        <f>SUMIF(Entradas!B:B,A4,Entradas!C:C)*B4</f>
        <v>6.25</v>
      </c>
    </row>
    <row r="5" spans="1:4">
      <c r="A5" s="16" t="s">
        <v>8</v>
      </c>
      <c r="B5" s="17">
        <v>0.15</v>
      </c>
      <c r="C5" s="18" t="s">
        <v>17</v>
      </c>
      <c r="D5" s="19">
        <f>SUMIF(Entradas!B:B,A5,Entradas!C:C)*B5</f>
        <v>3.75</v>
      </c>
    </row>
    <row r="6" spans="1:4">
      <c r="A6" s="16" t="s">
        <v>5</v>
      </c>
      <c r="B6" s="17">
        <v>0.15</v>
      </c>
      <c r="C6" s="18" t="s">
        <v>18</v>
      </c>
      <c r="D6" s="19">
        <f>SUMIF(Entradas!B:B,A6,Entradas!C:C)*B6</f>
        <v>11.549999999999999</v>
      </c>
    </row>
    <row r="7" spans="1:4">
      <c r="A7" s="16" t="s">
        <v>5</v>
      </c>
      <c r="B7" s="17">
        <v>0.15</v>
      </c>
      <c r="C7" s="18" t="s">
        <v>19</v>
      </c>
      <c r="D7" s="19">
        <f>SUMIF(Entradas!B:B,A7,Entradas!C:C)*B7</f>
        <v>11.549999999999999</v>
      </c>
    </row>
    <row r="8" spans="1:4">
      <c r="A8" s="20" t="s">
        <v>5</v>
      </c>
      <c r="B8" s="21">
        <v>0.7</v>
      </c>
      <c r="C8" s="22" t="s">
        <v>20</v>
      </c>
      <c r="D8" s="23">
        <f>SUMIF(Entradas!B:B,A8,Entradas!C:C)*B8</f>
        <v>53.9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C885-A93B-419D-8FA0-23619950E694}">
  <dimension ref="A1:B19"/>
  <sheetViews>
    <sheetView showGridLines="0" workbookViewId="0">
      <selection activeCell="B14" sqref="B14"/>
    </sheetView>
  </sheetViews>
  <sheetFormatPr defaultRowHeight="15"/>
  <cols>
    <col min="1" max="1" width="32.28515625" bestFit="1" customWidth="1"/>
    <col min="2" max="2" width="22.140625" style="1" customWidth="1"/>
  </cols>
  <sheetData>
    <row r="1" spans="1:2" ht="26.25">
      <c r="A1" s="10" t="s">
        <v>21</v>
      </c>
      <c r="B1" s="11">
        <f>SUM(B7,B10,B13)</f>
        <v>1309.67</v>
      </c>
    </row>
    <row r="4" spans="1:2">
      <c r="A4" s="5" t="s">
        <v>22</v>
      </c>
      <c r="B4" s="6">
        <f>SUM(Entradas!C:C)</f>
        <v>102</v>
      </c>
    </row>
    <row r="7" spans="1:2">
      <c r="A7" s="5" t="s">
        <v>23</v>
      </c>
      <c r="B7" s="6">
        <f>B19+SUM(Divisão!D4)</f>
        <v>527.58000000000004</v>
      </c>
    </row>
    <row r="10" spans="1:2">
      <c r="A10" s="5" t="s">
        <v>24</v>
      </c>
      <c r="B10" s="6">
        <f>B17+Divisão!D5</f>
        <v>237.09</v>
      </c>
    </row>
    <row r="13" spans="1:2">
      <c r="A13" s="5" t="s">
        <v>19</v>
      </c>
      <c r="B13" s="6">
        <f>B15+Divisão!D7</f>
        <v>545</v>
      </c>
    </row>
    <row r="15" spans="1:2">
      <c r="A15" s="9" t="s">
        <v>25</v>
      </c>
      <c r="B15" s="7">
        <v>533.45000000000005</v>
      </c>
    </row>
    <row r="17" spans="1:2">
      <c r="A17" s="8" t="s">
        <v>26</v>
      </c>
      <c r="B17" s="7">
        <v>233.34</v>
      </c>
    </row>
    <row r="19" spans="1:2">
      <c r="A19" s="8" t="s">
        <v>27</v>
      </c>
      <c r="B19" s="7">
        <v>521.33000000000004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2026-05-12T23:52:35Z</dcterms:created>
  <dcterms:modified xsi:type="dcterms:W3CDTF">2026-05-13T22:30:51Z</dcterms:modified>
  <cp:category/>
  <cp:contentStatus/>
</cp:coreProperties>
</file>